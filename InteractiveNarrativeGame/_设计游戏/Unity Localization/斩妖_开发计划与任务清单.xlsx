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路线图" sheetId="1" state="visible" r:id="rId3"/>
    <sheet name="任务清单" sheetId="2" state="visible" r:id="rId4"/>
    <sheet name="阶段工时汇总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<sst xmlns="http://schemas.openxmlformats.org/spreadsheetml/2006/main" count="358" uniqueCount="171">
  <si>
    <t xml:space="preserve">阶段</t>
  </si>
  <si>
    <t xml:space="preserve">目标</t>
  </si>
  <si>
    <t xml:space="preserve">关键产出</t>
  </si>
  <si>
    <r>
      <rPr>
        <b val="true"/>
        <sz val="11"/>
        <color rgb="FFFFFFFF"/>
        <rFont val="Noto Sans CJK SC"/>
        <family val="2"/>
      </rPr>
      <t xml:space="preserve">预估工时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周</t>
    </r>
    <r>
      <rPr>
        <b val="true"/>
        <sz val="11"/>
        <color rgb="FFFFFFFF"/>
        <rFont val="Arial"/>
        <family val="0"/>
        <charset val="1"/>
      </rPr>
      <t xml:space="preserve">)*</t>
    </r>
  </si>
  <si>
    <t xml:space="preserve">可并行阶段</t>
  </si>
  <si>
    <t xml:space="preserve">备注</t>
  </si>
  <si>
    <r>
      <rPr>
        <b val="true"/>
        <sz val="10"/>
        <rFont val="Arial"/>
        <family val="0"/>
        <charset val="1"/>
      </rPr>
      <t xml:space="preserve">P0 </t>
    </r>
    <r>
      <rPr>
        <b val="true"/>
        <sz val="10"/>
        <rFont val="Noto Sans CJK SC"/>
        <family val="2"/>
      </rPr>
      <t xml:space="preserve">需求冻结</t>
    </r>
  </si>
  <si>
    <t xml:space="preserve">把本次设计对话的内容整理成正式、可执行的文档基线</t>
  </si>
  <si>
    <r>
      <rPr>
        <sz val="10"/>
        <rFont val="Noto Sans CJK SC"/>
        <family val="2"/>
      </rPr>
      <t xml:space="preserve">门派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反派机制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数值系统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案件顺序钩子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开篇流程 五份设计文档定稿</t>
    </r>
  </si>
  <si>
    <t xml:space="preserve">-</t>
  </si>
  <si>
    <r>
      <rPr>
        <sz val="10"/>
        <rFont val="Noto Sans CJK SC"/>
        <family val="2"/>
      </rPr>
      <t xml:space="preserve">已基本完成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此阶段主要是整理归档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不是重新设计</t>
    </r>
  </si>
  <si>
    <r>
      <rPr>
        <b val="true"/>
        <sz val="10"/>
        <rFont val="Arial"/>
        <family val="0"/>
        <charset val="1"/>
      </rPr>
      <t xml:space="preserve">P1 </t>
    </r>
    <r>
      <rPr>
        <b val="true"/>
        <sz val="10"/>
        <rFont val="Noto Sans CJK SC"/>
        <family val="2"/>
      </rPr>
      <t xml:space="preserve">核心系统原型</t>
    </r>
  </si>
  <si>
    <t xml:space="preserve">用最简单的内容验证核心循环能跑通</t>
  </si>
  <si>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0(</t>
    </r>
    <r>
      <rPr>
        <sz val="10"/>
        <rFont val="Noto Sans CJK SC"/>
        <family val="2"/>
      </rPr>
      <t xml:space="preserve">教学案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全流程可玩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调查→交锋失败→诊断→造梦→结局</t>
    </r>
  </si>
  <si>
    <r>
      <rPr>
        <sz val="10"/>
        <rFont val="Noto Sans CJK SC"/>
        <family val="2"/>
      </rPr>
      <t xml:space="preserve">先证明架构可行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再往复杂内容里投入美术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文案精力</t>
    </r>
  </si>
  <si>
    <r>
      <rPr>
        <b val="true"/>
        <sz val="10"/>
        <rFont val="Arial"/>
        <family val="0"/>
        <charset val="1"/>
      </rPr>
      <t xml:space="preserve">P2 </t>
    </r>
    <r>
      <rPr>
        <b val="true"/>
        <sz val="10"/>
        <rFont val="Noto Sans CJK SC"/>
        <family val="2"/>
      </rPr>
      <t xml:space="preserve">内容数据化</t>
    </r>
  </si>
  <si>
    <t xml:space="preserve">把已写好的剧本转换成引擎可读的结构化数据</t>
  </si>
  <si>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0/</t>
    </r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《凶宅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友谊》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《过嘴瘾》完整数据化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含存档状态旗标设计</t>
    </r>
  </si>
  <si>
    <r>
      <rPr>
        <sz val="10"/>
        <rFont val="Noto Sans CJK SC"/>
        <family val="2"/>
      </rPr>
      <t xml:space="preserve">可与</t>
    </r>
    <r>
      <rPr>
        <sz val="10"/>
        <rFont val="Arial"/>
        <family val="0"/>
        <charset val="1"/>
      </rPr>
      <t xml:space="preserve">P1</t>
    </r>
    <r>
      <rPr>
        <sz val="10"/>
        <rFont val="Noto Sans CJK SC"/>
        <family val="2"/>
      </rPr>
      <t xml:space="preserve">收尾并行</t>
    </r>
  </si>
  <si>
    <r>
      <rPr>
        <sz val="10"/>
        <rFont val="Noto Sans CJK SC"/>
        <family val="2"/>
      </rPr>
      <t xml:space="preserve">凶宅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友谊剧本量最大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五门派结局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发丝共振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三次死局蒙太奇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</si>
  <si>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P3 </t>
    </r>
    <r>
      <rPr>
        <b val="true"/>
        <sz val="10"/>
        <rFont val="Noto Sans CJK SC"/>
        <family val="2"/>
      </rPr>
      <t xml:space="preserve">美术管线</t>
    </r>
  </si>
  <si>
    <r>
      <rPr>
        <sz val="10"/>
        <rFont val="Noto Sans CJK SC"/>
        <family val="2"/>
      </rPr>
      <t xml:space="preserve">搭建</t>
    </r>
    <r>
      <rPr>
        <sz val="10"/>
        <rFont val="Arial"/>
        <family val="0"/>
        <charset val="1"/>
      </rPr>
      <t xml:space="preserve">demo</t>
    </r>
    <r>
      <rPr>
        <sz val="10"/>
        <rFont val="Noto Sans CJK SC"/>
        <family val="2"/>
      </rPr>
      <t xml:space="preserve">范围内的全部美术资产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</si>
  <si>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门派精修人设、案</t>
    </r>
    <r>
      <rPr>
        <sz val="10"/>
        <rFont val="Arial"/>
        <family val="0"/>
        <charset val="1"/>
      </rPr>
      <t xml:space="preserve">0/</t>
    </r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1/</t>
    </r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场景与角色、</t>
    </r>
    <r>
      <rPr>
        <sz val="10"/>
        <rFont val="Arial"/>
        <family val="0"/>
        <charset val="1"/>
      </rPr>
      <t xml:space="preserve">UI</t>
    </r>
    <r>
      <rPr>
        <sz val="10"/>
        <rFont val="Noto Sans CJK SC"/>
        <family val="2"/>
      </rPr>
      <t xml:space="preserve">规范、法术特效</t>
    </r>
  </si>
  <si>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P4</t>
    </r>
    <r>
      <rPr>
        <sz val="10"/>
        <rFont val="Noto Sans CJK SC"/>
        <family val="2"/>
      </rPr>
      <t xml:space="preserve">全程并行</t>
    </r>
  </si>
  <si>
    <r>
      <rPr>
        <sz val="10"/>
        <rFont val="Noto Sans CJK SC"/>
        <family val="2"/>
      </rPr>
      <t xml:space="preserve">全计划里最大的产能瓶颈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建议评估是否需要外包</t>
    </r>
  </si>
  <si>
    <r>
      <rPr>
        <b val="true"/>
        <sz val="10"/>
        <rFont val="Arial"/>
        <family val="0"/>
        <charset val="1"/>
      </rPr>
      <t xml:space="preserve">P4 </t>
    </r>
    <r>
      <rPr>
        <b val="true"/>
        <sz val="10"/>
        <rFont val="Noto Sans CJK SC"/>
        <family val="2"/>
      </rPr>
      <t xml:space="preserve">系统深化</t>
    </r>
  </si>
  <si>
    <r>
      <rPr>
        <sz val="10"/>
        <rFont val="Noto Sans CJK SC"/>
        <family val="2"/>
      </rPr>
      <t xml:space="preserve">把心魔值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先机道具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门派养成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本地化等系统接入主循环</t>
    </r>
  </si>
  <si>
    <t xml:space="preserve">心魔值三阶段反馈、先机道具经济、门派熟练度、双语本地化框架落地</t>
  </si>
  <si>
    <r>
      <rPr>
        <sz val="10"/>
        <rFont val="Noto Sans CJK SC"/>
        <family val="2"/>
      </rPr>
      <t xml:space="preserve">与</t>
    </r>
    <r>
      <rPr>
        <sz val="10"/>
        <rFont val="Arial"/>
        <family val="0"/>
        <charset val="1"/>
      </rPr>
      <t xml:space="preserve">P3</t>
    </r>
    <r>
      <rPr>
        <sz val="10"/>
        <rFont val="Noto Sans CJK SC"/>
        <family val="2"/>
      </rPr>
      <t xml:space="preserve">全程并行</t>
    </r>
  </si>
  <si>
    <r>
      <rPr>
        <sz val="10"/>
        <rFont val="Noto Sans CJK SC"/>
        <family val="2"/>
      </rPr>
      <t xml:space="preserve">本地化技术方案已定</t>
    </r>
    <r>
      <rPr>
        <sz val="10"/>
        <rFont val="Arial"/>
        <family val="0"/>
        <charset val="1"/>
      </rPr>
      <t xml:space="preserve">(Unity Localization),</t>
    </r>
    <r>
      <rPr>
        <sz val="10"/>
        <rFont val="Noto Sans CJK SC"/>
        <family val="2"/>
      </rPr>
      <t xml:space="preserve">此阶段是集成工作</t>
    </r>
  </si>
  <si>
    <r>
      <rPr>
        <b val="true"/>
        <sz val="10"/>
        <rFont val="Arial"/>
        <family val="0"/>
        <charset val="1"/>
      </rPr>
      <t xml:space="preserve">P5 </t>
    </r>
    <r>
      <rPr>
        <b val="true"/>
        <sz val="10"/>
        <rFont val="Noto Sans CJK SC"/>
        <family val="2"/>
      </rPr>
      <t xml:space="preserve">整合打磨</t>
    </r>
  </si>
  <si>
    <r>
      <rPr>
        <sz val="10"/>
        <rFont val="Noto Sans CJK SC"/>
        <family val="2"/>
      </rPr>
      <t xml:space="preserve">把所有系统和内容串成完整可玩</t>
    </r>
    <r>
      <rPr>
        <sz val="10"/>
        <rFont val="Arial"/>
        <family val="0"/>
        <charset val="1"/>
      </rPr>
      <t xml:space="preserve">demo</t>
    </r>
  </si>
  <si>
    <r>
      <rPr>
        <sz val="10"/>
        <rFont val="Noto Sans CJK SC"/>
        <family val="2"/>
      </rPr>
      <t xml:space="preserve">序章→案</t>
    </r>
    <r>
      <rPr>
        <sz val="10"/>
        <rFont val="Arial"/>
        <family val="0"/>
        <charset val="1"/>
      </rPr>
      <t xml:space="preserve">0→</t>
    </r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1→</t>
    </r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完整可玩、音效音乐接入、移动端性能优化</t>
    </r>
  </si>
  <si>
    <r>
      <rPr>
        <sz val="10"/>
        <rFont val="Noto Sans CJK SC"/>
        <family val="2"/>
      </rPr>
      <t xml:space="preserve">对应设计文档里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开篇几小时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流程</t>
    </r>
  </si>
  <si>
    <r>
      <rPr>
        <b val="true"/>
        <sz val="10"/>
        <rFont val="Arial"/>
        <family val="0"/>
        <charset val="1"/>
      </rPr>
      <t xml:space="preserve">P6 </t>
    </r>
    <r>
      <rPr>
        <b val="true"/>
        <sz val="10"/>
        <rFont val="Noto Sans CJK SC"/>
        <family val="2"/>
      </rPr>
      <t xml:space="preserve">测试与发布准备</t>
    </r>
  </si>
  <si>
    <r>
      <rPr>
        <sz val="10"/>
        <rFont val="Noto Sans CJK SC"/>
        <family val="2"/>
      </rPr>
      <t xml:space="preserve">验证</t>
    </r>
    <r>
      <rPr>
        <sz val="10"/>
        <rFont val="Arial"/>
        <family val="0"/>
        <charset val="1"/>
      </rPr>
      <t xml:space="preserve">demo</t>
    </r>
    <r>
      <rPr>
        <sz val="10"/>
        <rFont val="Noto Sans CJK SC"/>
        <family val="2"/>
      </rPr>
      <t xml:space="preserve">质量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准备对外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测试玩家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发行商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展示</t>
    </r>
  </si>
  <si>
    <t xml:space="preserve">内测反馈迭代、双语文本校对、商店素材</t>
  </si>
  <si>
    <r>
      <rPr>
        <sz val="10"/>
        <rFont val="Noto Sans CJK SC"/>
        <family val="2"/>
      </rPr>
      <t xml:space="preserve">完成后即达成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验证</t>
    </r>
    <r>
      <rPr>
        <sz val="10"/>
        <rFont val="Arial"/>
        <family val="0"/>
        <charset val="1"/>
      </rPr>
      <t xml:space="preserve">demo'</t>
    </r>
    <r>
      <rPr>
        <sz val="10"/>
        <rFont val="Noto Sans CJK SC"/>
        <family val="2"/>
      </rPr>
      <t xml:space="preserve">里程碑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可用于找发行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测试市场反应</t>
    </r>
  </si>
  <si>
    <r>
      <rPr>
        <i val="true"/>
        <sz val="9"/>
        <color rgb="FF666666"/>
        <rFont val="Arial"/>
        <family val="0"/>
        <charset val="1"/>
      </rPr>
      <t xml:space="preserve">* </t>
    </r>
    <r>
      <rPr>
        <i val="true"/>
        <sz val="9"/>
        <color rgb="FF666666"/>
        <rFont val="Noto Sans CJK SC"/>
        <family val="2"/>
      </rPr>
      <t xml:space="preserve">假设</t>
    </r>
    <r>
      <rPr>
        <i val="true"/>
        <sz val="9"/>
        <color rgb="FF666666"/>
        <rFont val="Arial"/>
        <family val="0"/>
        <charset val="1"/>
      </rPr>
      <t xml:space="preserve">:</t>
    </r>
    <r>
      <rPr>
        <i val="true"/>
        <sz val="9"/>
        <color rgb="FF666666"/>
        <rFont val="Noto Sans CJK SC"/>
        <family val="2"/>
      </rPr>
      <t xml:space="preserve">业余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兼职开发</t>
    </r>
    <r>
      <rPr>
        <i val="true"/>
        <sz val="9"/>
        <color rgb="FF666666"/>
        <rFont val="Arial"/>
        <family val="0"/>
        <charset val="1"/>
      </rPr>
      <t xml:space="preserve">,</t>
    </r>
    <r>
      <rPr>
        <i val="true"/>
        <sz val="9"/>
        <color rgb="FF666666"/>
        <rFont val="Noto Sans CJK SC"/>
        <family val="2"/>
      </rPr>
      <t xml:space="preserve">约每周</t>
    </r>
    <r>
      <rPr>
        <i val="true"/>
        <sz val="9"/>
        <color rgb="FF666666"/>
        <rFont val="Arial"/>
        <family val="0"/>
        <charset val="1"/>
      </rPr>
      <t xml:space="preserve">10-15</t>
    </r>
    <r>
      <rPr>
        <i val="true"/>
        <sz val="9"/>
        <color rgb="FF666666"/>
        <rFont val="Noto Sans CJK SC"/>
        <family val="2"/>
      </rPr>
      <t xml:space="preserve">小时投入</t>
    </r>
    <r>
      <rPr>
        <i val="true"/>
        <sz val="9"/>
        <color rgb="FF666666"/>
        <rFont val="Arial"/>
        <family val="0"/>
        <charset val="1"/>
      </rPr>
      <t xml:space="preserve">;</t>
    </r>
    <r>
      <rPr>
        <i val="true"/>
        <sz val="9"/>
        <color rgb="FF666666"/>
        <rFont val="Noto Sans CJK SC"/>
        <family val="2"/>
      </rPr>
      <t xml:space="preserve">若为全职团队</t>
    </r>
    <r>
      <rPr>
        <i val="true"/>
        <sz val="9"/>
        <color rgb="FF666666"/>
        <rFont val="Arial"/>
        <family val="0"/>
        <charset val="1"/>
      </rPr>
      <t xml:space="preserve">,</t>
    </r>
    <r>
      <rPr>
        <i val="true"/>
        <sz val="9"/>
        <color rgb="FF666666"/>
        <rFont val="Noto Sans CJK SC"/>
        <family val="2"/>
      </rPr>
      <t xml:space="preserve">工时估算需按人力重新折算。</t>
    </r>
  </si>
  <si>
    <r>
      <rPr>
        <i val="true"/>
        <sz val="9"/>
        <color rgb="FF666666"/>
        <rFont val="Arial"/>
        <family val="0"/>
        <charset val="1"/>
      </rPr>
      <t xml:space="preserve">P1-P6 </t>
    </r>
    <r>
      <rPr>
        <i val="true"/>
        <sz val="9"/>
        <color rgb="FF666666"/>
        <rFont val="Noto Sans CJK SC"/>
        <family val="2"/>
      </rPr>
      <t xml:space="preserve">合计约 </t>
    </r>
    <r>
      <rPr>
        <i val="true"/>
        <sz val="9"/>
        <color rgb="FF666666"/>
        <rFont val="Arial"/>
        <family val="0"/>
        <charset val="1"/>
      </rPr>
      <t xml:space="preserve">26 </t>
    </r>
    <r>
      <rPr>
        <i val="true"/>
        <sz val="9"/>
        <color rgb="FF666666"/>
        <rFont val="Noto Sans CJK SC"/>
        <family val="2"/>
      </rPr>
      <t xml:space="preserve">周</t>
    </r>
    <r>
      <rPr>
        <i val="true"/>
        <sz val="9"/>
        <color rgb="FF666666"/>
        <rFont val="Arial"/>
        <family val="0"/>
        <charset val="1"/>
      </rPr>
      <t xml:space="preserve">(~6</t>
    </r>
    <r>
      <rPr>
        <i val="true"/>
        <sz val="9"/>
        <color rgb="FF666666"/>
        <rFont val="Noto Sans CJK SC"/>
        <family val="2"/>
      </rPr>
      <t xml:space="preserve">个月</t>
    </r>
    <r>
      <rPr>
        <i val="true"/>
        <sz val="9"/>
        <color rgb="FF666666"/>
        <rFont val="Arial"/>
        <family val="0"/>
        <charset val="1"/>
      </rPr>
      <t xml:space="preserve">),</t>
    </r>
    <r>
      <rPr>
        <i val="true"/>
        <sz val="9"/>
        <color rgb="FF666666"/>
        <rFont val="Noto Sans CJK SC"/>
        <family val="2"/>
      </rPr>
      <t xml:space="preserve">目标是</t>
    </r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Noto Sans CJK SC"/>
        <family val="2"/>
      </rPr>
      <t xml:space="preserve">案可玩</t>
    </r>
    <r>
      <rPr>
        <i val="true"/>
        <sz val="9"/>
        <color rgb="FF666666"/>
        <rFont val="Arial"/>
        <family val="0"/>
        <charset val="1"/>
      </rPr>
      <t xml:space="preserve">demo,</t>
    </r>
    <r>
      <rPr>
        <i val="true"/>
        <sz val="9"/>
        <color rgb="FF666666"/>
        <rFont val="Noto Sans CJK SC"/>
        <family val="2"/>
      </rPr>
      <t xml:space="preserve">而非完整第一季</t>
    </r>
    <r>
      <rPr>
        <i val="true"/>
        <sz val="9"/>
        <color rgb="FF666666"/>
        <rFont val="Arial"/>
        <family val="0"/>
        <charset val="1"/>
      </rPr>
      <t xml:space="preserve">(8-12</t>
    </r>
    <r>
      <rPr>
        <i val="true"/>
        <sz val="9"/>
        <color rgb="FF666666"/>
        <rFont val="Noto Sans CJK SC"/>
        <family val="2"/>
      </rPr>
      <t xml:space="preserve">案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。</t>
    </r>
  </si>
  <si>
    <t xml:space="preserve">ID</t>
  </si>
  <si>
    <t xml:space="preserve">类别</t>
  </si>
  <si>
    <t xml:space="preserve">任务</t>
  </si>
  <si>
    <t xml:space="preserve">优先级</t>
  </si>
  <si>
    <r>
      <rPr>
        <b val="true"/>
        <sz val="11"/>
        <color rgb="FFFFFFFF"/>
        <rFont val="Noto Sans CJK SC"/>
        <family val="2"/>
      </rPr>
      <t xml:space="preserve">预估工时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</si>
  <si>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依赖任务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</si>
  <si>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状态</t>
  </si>
  <si>
    <t xml:space="preserve">T001</t>
  </si>
  <si>
    <t xml:space="preserve">P0</t>
  </si>
  <si>
    <t xml:space="preserve">文档</t>
  </si>
  <si>
    <r>
      <rPr>
        <sz val="10"/>
        <rFont val="Noto Sans CJK SC"/>
        <family val="2"/>
      </rPr>
      <t xml:space="preserve">整理七门派机制表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反派八类型表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数值系统为正式设计文档</t>
    </r>
  </si>
  <si>
    <t xml:space="preserve">未开始</t>
  </si>
  <si>
    <r>
      <rPr>
        <sz val="10"/>
        <rFont val="Noto Sans CJK SC"/>
        <family val="2"/>
      </rPr>
      <t xml:space="preserve">已有初稿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需排版归档</t>
    </r>
  </si>
  <si>
    <t xml:space="preserve">T002</t>
  </si>
  <si>
    <r>
      <rPr>
        <sz val="10"/>
        <rFont val="Noto Sans CJK SC"/>
        <family val="2"/>
      </rPr>
      <t xml:space="preserve">新写案</t>
    </r>
    <r>
      <rPr>
        <sz val="10"/>
        <rFont val="Arial"/>
        <family val="0"/>
        <charset val="1"/>
      </rPr>
      <t xml:space="preserve">0(</t>
    </r>
    <r>
      <rPr>
        <sz val="10"/>
        <rFont val="Noto Sans CJK SC"/>
        <family val="2"/>
      </rPr>
      <t xml:space="preserve">教学案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完整大纲与台词</t>
    </r>
  </si>
  <si>
    <r>
      <rPr>
        <sz val="10"/>
        <rFont val="Noto Sans CJK SC"/>
        <family val="2"/>
      </rPr>
      <t xml:space="preserve">单层执念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轻量语气</t>
    </r>
    <r>
      <rPr>
        <sz val="10"/>
        <rFont val="Arial"/>
        <family val="0"/>
        <charset val="1"/>
      </rPr>
      <t xml:space="preserve">,20</t>
    </r>
    <r>
      <rPr>
        <sz val="10"/>
        <rFont val="Noto Sans CJK SC"/>
        <family val="2"/>
      </rPr>
      <t xml:space="preserve">分钟体量</t>
    </r>
  </si>
  <si>
    <t xml:space="preserve">T003</t>
  </si>
  <si>
    <r>
      <rPr>
        <sz val="10"/>
        <rFont val="Noto Sans CJK SC"/>
        <family val="2"/>
      </rPr>
      <t xml:space="preserve">定稿术语表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七门派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反派名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核心数值 中英对照</t>
    </r>
    <r>
      <rPr>
        <sz val="10"/>
        <rFont val="Arial"/>
        <family val="0"/>
        <charset val="1"/>
      </rPr>
      <t xml:space="preserve">)</t>
    </r>
  </si>
  <si>
    <t xml:space="preserve">后续所有翻译强制引用此表</t>
  </si>
  <si>
    <t xml:space="preserve">T004</t>
  </si>
  <si>
    <t xml:space="preserve">定稿开篇几小时流程文档为可执行关卡设计稿</t>
  </si>
  <si>
    <t xml:space="preserve">P1</t>
  </si>
  <si>
    <t xml:space="preserve">T101</t>
  </si>
  <si>
    <t xml:space="preserve">程序</t>
  </si>
  <si>
    <r>
      <rPr>
        <sz val="10"/>
        <rFont val="Noto Sans CJK SC"/>
        <family val="2"/>
      </rPr>
      <t xml:space="preserve">搭建</t>
    </r>
    <r>
      <rPr>
        <sz val="10"/>
        <rFont val="Arial"/>
        <family val="0"/>
        <charset val="1"/>
      </rPr>
      <t xml:space="preserve">Unity</t>
    </r>
    <r>
      <rPr>
        <sz val="10"/>
        <rFont val="Noto Sans CJK SC"/>
        <family val="2"/>
      </rPr>
      <t xml:space="preserve">项目结构与场景框架</t>
    </r>
  </si>
  <si>
    <r>
      <rPr>
        <sz val="10"/>
        <rFont val="Noto Sans CJK SC"/>
        <family val="2"/>
      </rPr>
      <t xml:space="preserve">场景</t>
    </r>
    <r>
      <rPr>
        <sz val="10"/>
        <rFont val="Arial"/>
        <family val="0"/>
        <charset val="1"/>
      </rPr>
      <t xml:space="preserve">/Prefab/</t>
    </r>
    <r>
      <rPr>
        <sz val="10"/>
        <rFont val="Noto Sans CJK SC"/>
        <family val="2"/>
      </rPr>
      <t xml:space="preserve">程序集划分</t>
    </r>
  </si>
  <si>
    <t xml:space="preserve">T102</t>
  </si>
  <si>
    <r>
      <rPr>
        <sz val="10"/>
        <rFont val="Noto Sans CJK SC"/>
        <family val="2"/>
      </rPr>
      <t xml:space="preserve">实现对话系统基础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文本显示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分支选项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</si>
  <si>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可用简化版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先不依赖</t>
    </r>
    <r>
      <rPr>
        <sz val="10"/>
        <rFont val="Arial"/>
        <family val="0"/>
        <charset val="1"/>
      </rPr>
      <t xml:space="preserve">Localization</t>
    </r>
  </si>
  <si>
    <t xml:space="preserve">T103</t>
  </si>
  <si>
    <r>
      <rPr>
        <sz val="10"/>
        <rFont val="Noto Sans CJK SC"/>
        <family val="2"/>
      </rPr>
      <t xml:space="preserve">实现识破值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共鸣值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幻境可信度计算引擎</t>
    </r>
  </si>
  <si>
    <r>
      <rPr>
        <sz val="10"/>
        <rFont val="Noto Sans CJK SC"/>
        <family val="2"/>
      </rPr>
      <t xml:space="preserve">核心公式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见造梦渡化判定文档</t>
    </r>
  </si>
  <si>
    <t xml:space="preserve">T104</t>
  </si>
  <si>
    <r>
      <rPr>
        <sz val="10"/>
        <rFont val="Noto Sans CJK SC"/>
        <family val="2"/>
      </rPr>
      <t xml:space="preserve">实现调查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线索收集与线索完整度追踪</t>
    </r>
  </si>
  <si>
    <t xml:space="preserve">T105</t>
  </si>
  <si>
    <r>
      <rPr>
        <sz val="10"/>
        <rFont val="Noto Sans CJK SC"/>
        <family val="2"/>
      </rPr>
      <t xml:space="preserve">用案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跑通完整循环并做单元测试</t>
    </r>
  </si>
  <si>
    <t xml:space="preserve">T102,T103,T104,T002</t>
  </si>
  <si>
    <r>
      <rPr>
        <sz val="10"/>
        <rFont val="Noto Sans CJK SC"/>
        <family val="2"/>
      </rPr>
      <t xml:space="preserve">验证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调查→交锋失败→诊断→造梦→结局</t>
    </r>
  </si>
  <si>
    <t xml:space="preserve">T106</t>
  </si>
  <si>
    <r>
      <rPr>
        <sz val="10"/>
        <rFont val="Noto Sans CJK SC"/>
        <family val="2"/>
      </rPr>
      <t xml:space="preserve">法器反馈系统雏形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符箓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念珠等趋势提示</t>
    </r>
    <r>
      <rPr>
        <sz val="10"/>
        <rFont val="Arial"/>
        <family val="0"/>
        <charset val="1"/>
      </rPr>
      <t xml:space="preserve">UI)</t>
    </r>
  </si>
  <si>
    <r>
      <rPr>
        <sz val="10"/>
        <rFont val="Noto Sans CJK SC"/>
        <family val="2"/>
      </rPr>
      <t xml:space="preserve">先做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个门派版本验证交互</t>
    </r>
  </si>
  <si>
    <t xml:space="preserve">T201</t>
  </si>
  <si>
    <t xml:space="preserve">P2</t>
  </si>
  <si>
    <t xml:space="preserve">文案</t>
  </si>
  <si>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台词数据结构化</t>
    </r>
    <r>
      <rPr>
        <sz val="10"/>
        <rFont val="Arial"/>
        <family val="0"/>
        <charset val="1"/>
      </rPr>
      <t xml:space="preserve">(JSON)</t>
    </r>
  </si>
  <si>
    <t xml:space="preserve">T002,T105</t>
  </si>
  <si>
    <t xml:space="preserve">T202</t>
  </si>
  <si>
    <r>
      <rPr>
        <sz val="10"/>
        <rFont val="Noto Sans CJK SC"/>
        <family val="2"/>
      </rPr>
      <t xml:space="preserve">《凶宅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友谊》完整脚本数据化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五门派结局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</si>
  <si>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量最大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建议拆五个子任务按门派分头进行</t>
    </r>
  </si>
  <si>
    <t xml:space="preserve">T203</t>
  </si>
  <si>
    <t xml:space="preserve">三次死局循环蒙太奇过场文案与分镜脚本</t>
  </si>
  <si>
    <r>
      <rPr>
        <sz val="10"/>
        <rFont val="Noto Sans CJK SC"/>
        <family val="2"/>
      </rPr>
      <t xml:space="preserve">控制在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秒内的过场</t>
    </r>
  </si>
  <si>
    <t xml:space="preserve">T204</t>
  </si>
  <si>
    <r>
      <rPr>
        <sz val="10"/>
        <rFont val="Noto Sans CJK SC"/>
        <family val="2"/>
      </rPr>
      <t xml:space="preserve">发丝共振场景过场文案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婉婉台词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紫苏反应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门派对比画面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</si>
  <si>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已有初稿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需转分镜脚本</t>
    </r>
  </si>
  <si>
    <t xml:space="preserve">T205</t>
  </si>
  <si>
    <r>
      <rPr>
        <sz val="10"/>
        <rFont val="Noto Sans CJK SC"/>
        <family val="2"/>
      </rPr>
      <t xml:space="preserve">《过嘴瘾》完整脚本数据化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六人链条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四门派断链</t>
    </r>
    <r>
      <rPr>
        <sz val="10"/>
        <rFont val="Arial"/>
        <family val="0"/>
        <charset val="1"/>
      </rPr>
      <t xml:space="preserve">)</t>
    </r>
  </si>
  <si>
    <t xml:space="preserve">T206</t>
  </si>
  <si>
    <r>
      <rPr>
        <sz val="10"/>
        <rFont val="Noto Sans CJK SC"/>
        <family val="2"/>
      </rPr>
      <t xml:space="preserve">案件</t>
    </r>
    <r>
      <rPr>
        <sz val="10"/>
        <rFont val="Arial"/>
        <family val="0"/>
        <charset val="1"/>
      </rPr>
      <t xml:space="preserve">/NPC</t>
    </r>
    <r>
      <rPr>
        <sz val="10"/>
        <rFont val="Noto Sans CJK SC"/>
        <family val="2"/>
      </rPr>
      <t xml:space="preserve">状态旗标系统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如首领净化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黑化分支追踪</t>
    </r>
    <r>
      <rPr>
        <sz val="10"/>
        <rFont val="Arial"/>
        <family val="0"/>
        <charset val="1"/>
      </rPr>
      <t xml:space="preserve">)</t>
    </r>
  </si>
  <si>
    <t xml:space="preserve">为后续《归局》等钩子案预留接口</t>
  </si>
  <si>
    <t xml:space="preserve">T207</t>
  </si>
  <si>
    <t xml:space="preserve">存档系统实现</t>
  </si>
  <si>
    <t xml:space="preserve">T301</t>
  </si>
  <si>
    <t xml:space="preserve">P3</t>
  </si>
  <si>
    <t xml:space="preserve">美术</t>
  </si>
  <si>
    <r>
      <rPr>
        <sz val="10"/>
        <rFont val="Noto Sans CJK SC"/>
        <family val="2"/>
      </rPr>
      <t xml:space="preserve">美术风格指南定稿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玄幻唯美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色彩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材质规范</t>
    </r>
    <r>
      <rPr>
        <sz val="10"/>
        <rFont val="Arial"/>
        <family val="0"/>
        <charset val="1"/>
      </rPr>
      <t xml:space="preserve">)</t>
    </r>
  </si>
  <si>
    <t xml:space="preserve">T302</t>
  </si>
  <si>
    <r>
      <rPr>
        <sz val="10"/>
        <rFont val="Noto Sans CJK SC"/>
        <family val="2"/>
      </rPr>
      <t xml:space="preserve">七门派</t>
    </r>
    <r>
      <rPr>
        <sz val="10"/>
        <rFont val="Arial"/>
        <family val="0"/>
        <charset val="1"/>
      </rPr>
      <t xml:space="preserve">×2</t>
    </r>
    <r>
      <rPr>
        <sz val="10"/>
        <rFont val="Noto Sans CJK SC"/>
        <family val="2"/>
      </rPr>
      <t xml:space="preserve">性别人设草图</t>
    </r>
    <r>
      <rPr>
        <sz val="10"/>
        <rFont val="Arial"/>
        <family val="0"/>
        <charset val="1"/>
      </rPr>
      <t xml:space="preserve">(14</t>
    </r>
    <r>
      <rPr>
        <sz val="10"/>
        <rFont val="Noto Sans CJK SC"/>
        <family val="2"/>
      </rPr>
      <t xml:space="preserve">套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</si>
  <si>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优先精修</t>
    </r>
    <r>
      <rPr>
        <sz val="10"/>
        <rFont val="Arial"/>
        <family val="0"/>
        <charset val="1"/>
      </rPr>
      <t xml:space="preserve">demo</t>
    </r>
    <r>
      <rPr>
        <sz val="10"/>
        <rFont val="Noto Sans CJK SC"/>
        <family val="2"/>
      </rPr>
      <t xml:space="preserve">涉及的</t>
    </r>
    <r>
      <rPr>
        <sz val="10"/>
        <rFont val="Arial"/>
        <family val="0"/>
        <charset val="1"/>
      </rPr>
      <t xml:space="preserve">3-5</t>
    </r>
    <r>
      <rPr>
        <sz val="10"/>
        <rFont val="Noto Sans CJK SC"/>
        <family val="2"/>
      </rPr>
      <t xml:space="preserve">个门派</t>
    </r>
  </si>
  <si>
    <t xml:space="preserve">T303</t>
  </si>
  <si>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简单反派人设</t>
    </r>
  </si>
  <si>
    <t xml:space="preserve">T301,T002</t>
  </si>
  <si>
    <t xml:space="preserve">T304</t>
  </si>
  <si>
    <r>
      <rPr>
        <sz val="10"/>
        <rFont val="Noto Sans CJK SC"/>
        <family val="2"/>
      </rPr>
      <t xml:space="preserve">紫苏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婉婉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林家角色人设</t>
    </r>
  </si>
  <si>
    <t xml:space="preserve">T305</t>
  </si>
  <si>
    <r>
      <rPr>
        <sz val="10"/>
        <rFont val="Noto Sans CJK SC"/>
        <family val="2"/>
      </rPr>
      <t xml:space="preserve">凶宅别墅场景美术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内外</t>
    </r>
    <r>
      <rPr>
        <sz val="10"/>
        <rFont val="Arial"/>
        <family val="0"/>
        <charset val="1"/>
      </rPr>
      <t xml:space="preserve">)</t>
    </r>
  </si>
  <si>
    <t xml:space="preserve">T306</t>
  </si>
  <si>
    <r>
      <rPr>
        <sz val="10"/>
        <rFont val="Noto Sans CJK SC"/>
        <family val="2"/>
      </rPr>
      <t xml:space="preserve">五种幻境结局差异化场景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道士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和尚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阴阳风水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驱魔师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巫师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</si>
  <si>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可按优先级先做</t>
    </r>
    <r>
      <rPr>
        <sz val="10"/>
        <rFont val="Arial"/>
        <family val="0"/>
        <charset val="1"/>
      </rPr>
      <t xml:space="preserve">2-3</t>
    </r>
    <r>
      <rPr>
        <sz val="10"/>
        <rFont val="Noto Sans CJK SC"/>
        <family val="2"/>
      </rPr>
      <t xml:space="preserve">种再补齐</t>
    </r>
  </si>
  <si>
    <t xml:space="preserve">T307</t>
  </si>
  <si>
    <r>
      <rPr>
        <sz val="10"/>
        <rFont val="Noto Sans CJK SC"/>
        <family val="2"/>
      </rPr>
      <t xml:space="preserve">《过嘴瘾》场景与六位</t>
    </r>
    <r>
      <rPr>
        <sz val="10"/>
        <rFont val="Arial"/>
        <family val="0"/>
        <charset val="1"/>
      </rPr>
      <t xml:space="preserve">NPC</t>
    </r>
    <r>
      <rPr>
        <sz val="10"/>
        <rFont val="Noto Sans CJK SC"/>
        <family val="2"/>
      </rPr>
      <t xml:space="preserve">人设</t>
    </r>
  </si>
  <si>
    <t xml:space="preserve">T308</t>
  </si>
  <si>
    <r>
      <rPr>
        <sz val="10"/>
        <rFont val="Arial"/>
        <family val="0"/>
        <charset val="1"/>
      </rPr>
      <t xml:space="preserve">UI</t>
    </r>
    <r>
      <rPr>
        <sz val="10"/>
        <rFont val="Noto Sans CJK SC"/>
        <family val="2"/>
      </rPr>
      <t xml:space="preserve">关键界面视觉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对话框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案件选择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门派养成</t>
    </r>
    <r>
      <rPr>
        <sz val="10"/>
        <rFont val="Arial"/>
        <family val="0"/>
        <charset val="1"/>
      </rPr>
      <t xml:space="preserve">)</t>
    </r>
  </si>
  <si>
    <t xml:space="preserve">T309</t>
  </si>
  <si>
    <t xml:space="preserve">法术特效与造梦转场动效</t>
  </si>
  <si>
    <t xml:space="preserve">T401</t>
  </si>
  <si>
    <t xml:space="preserve">P4</t>
  </si>
  <si>
    <r>
      <rPr>
        <sz val="10"/>
        <rFont val="Noto Sans CJK SC"/>
        <family val="2"/>
      </rPr>
      <t xml:space="preserve">心魔值三阶段系统与法器示警</t>
    </r>
    <r>
      <rPr>
        <sz val="10"/>
        <rFont val="Arial"/>
        <family val="0"/>
        <charset val="1"/>
      </rPr>
      <t xml:space="preserve">UI</t>
    </r>
    <r>
      <rPr>
        <sz val="10"/>
        <rFont val="Noto Sans CJK SC"/>
        <family val="2"/>
      </rPr>
      <t xml:space="preserve">接入</t>
    </r>
  </si>
  <si>
    <t xml:space="preserve">T402</t>
  </si>
  <si>
    <r>
      <rPr>
        <sz val="10"/>
        <rFont val="Noto Sans CJK SC"/>
        <family val="2"/>
      </rPr>
      <t xml:space="preserve">先机道具系统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获取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案内配额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灵机值转化</t>
    </r>
    <r>
      <rPr>
        <sz val="10"/>
        <rFont val="Arial"/>
        <family val="0"/>
        <charset val="1"/>
      </rPr>
      <t xml:space="preserve">)</t>
    </r>
  </si>
  <si>
    <t xml:space="preserve">T403</t>
  </si>
  <si>
    <t xml:space="preserve">门派熟练度养成系统</t>
  </si>
  <si>
    <t xml:space="preserve">T404</t>
  </si>
  <si>
    <r>
      <rPr>
        <sz val="10"/>
        <rFont val="Arial"/>
        <family val="0"/>
        <charset val="1"/>
      </rPr>
      <t xml:space="preserve">Unity Localization</t>
    </r>
    <r>
      <rPr>
        <sz val="10"/>
        <rFont val="Noto Sans CJK SC"/>
        <family val="2"/>
      </rPr>
      <t xml:space="preserve">集成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接入已给出的</t>
    </r>
    <r>
      <rPr>
        <sz val="10"/>
        <rFont val="Arial"/>
        <family val="0"/>
        <charset val="1"/>
      </rPr>
      <t xml:space="preserve">Helper/KeyGenerator</t>
    </r>
    <r>
      <rPr>
        <sz val="10"/>
        <rFont val="Noto Sans CJK SC"/>
        <family val="2"/>
      </rPr>
      <t xml:space="preserve">框架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</si>
  <si>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代码框架已产出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此任务是接入主流程</t>
    </r>
  </si>
  <si>
    <t xml:space="preserve">T405</t>
  </si>
  <si>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0/</t>
    </r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1/</t>
    </r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文本英文翻译</t>
    </r>
  </si>
  <si>
    <t xml:space="preserve">T201,T202,T203,T204,T003</t>
  </si>
  <si>
    <r>
      <rPr>
        <sz val="10"/>
        <rFont val="Noto Sans CJK SC"/>
        <family val="2"/>
      </rPr>
      <t xml:space="preserve">先中文定稿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术语表先行</t>
    </r>
  </si>
  <si>
    <t xml:space="preserve">T406</t>
  </si>
  <si>
    <t xml:space="preserve">世界善恶值全局系统</t>
  </si>
  <si>
    <r>
      <rPr>
        <sz val="10"/>
        <rFont val="Arial"/>
        <family val="0"/>
        <charset val="1"/>
      </rPr>
      <t xml:space="preserve">demo</t>
    </r>
    <r>
      <rPr>
        <sz val="10"/>
        <rFont val="Noto Sans CJK SC"/>
        <family val="2"/>
      </rPr>
      <t xml:space="preserve">阶段可简化为单案内小范围演示</t>
    </r>
  </si>
  <si>
    <t xml:space="preserve">T501</t>
  </si>
  <si>
    <t xml:space="preserve">P5</t>
  </si>
  <si>
    <t xml:space="preserve">整合</t>
  </si>
  <si>
    <r>
      <rPr>
        <sz val="10"/>
        <rFont val="Noto Sans CJK SC"/>
        <family val="2"/>
      </rPr>
      <t xml:space="preserve">序章→案</t>
    </r>
    <r>
      <rPr>
        <sz val="10"/>
        <rFont val="Arial"/>
        <family val="0"/>
        <charset val="1"/>
      </rPr>
      <t xml:space="preserve">0→</t>
    </r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1→</t>
    </r>
    <r>
      <rPr>
        <sz val="10"/>
        <rFont val="Noto Sans CJK SC"/>
        <family val="2"/>
      </rPr>
      <t xml:space="preserve">案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完整串联测试</t>
    </r>
  </si>
  <si>
    <t xml:space="preserve">T105,T202,T205,T306,T404</t>
  </si>
  <si>
    <t xml:space="preserve">T502</t>
  </si>
  <si>
    <t xml:space="preserve">音频</t>
  </si>
  <si>
    <r>
      <rPr>
        <sz val="10"/>
        <rFont val="Arial"/>
        <family val="0"/>
        <charset val="1"/>
      </rPr>
      <t xml:space="preserve">BGM/</t>
    </r>
    <r>
      <rPr>
        <sz val="10"/>
        <rFont val="Noto Sans CJK SC"/>
        <family val="2"/>
      </rPr>
      <t xml:space="preserve">关键情绪节点音效接入</t>
    </r>
  </si>
  <si>
    <t xml:space="preserve">发丝共振等高光时刻优先</t>
  </si>
  <si>
    <t xml:space="preserve">T503</t>
  </si>
  <si>
    <r>
      <rPr>
        <sz val="10"/>
        <rFont val="Noto Sans CJK SC"/>
        <family val="2"/>
      </rPr>
      <t xml:space="preserve">移动端性能优化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打包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内存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加载</t>
    </r>
    <r>
      <rPr>
        <sz val="10"/>
        <rFont val="Arial"/>
        <family val="0"/>
        <charset val="1"/>
      </rPr>
      <t xml:space="preserve">)</t>
    </r>
  </si>
  <si>
    <t xml:space="preserve">T504</t>
  </si>
  <si>
    <r>
      <rPr>
        <sz val="10"/>
        <rFont val="Arial"/>
        <family val="0"/>
        <charset val="1"/>
      </rPr>
      <t xml:space="preserve">Bug</t>
    </r>
    <r>
      <rPr>
        <sz val="10"/>
        <rFont val="Noto Sans CJK SC"/>
        <family val="2"/>
      </rPr>
      <t xml:space="preserve">修复迭代</t>
    </r>
  </si>
  <si>
    <t xml:space="preserve">T601</t>
  </si>
  <si>
    <t xml:space="preserve">P6</t>
  </si>
  <si>
    <t xml:space="preserve">测试</t>
  </si>
  <si>
    <r>
      <rPr>
        <sz val="10"/>
        <rFont val="Noto Sans CJK SC"/>
        <family val="2"/>
      </rPr>
      <t xml:space="preserve">内测</t>
    </r>
    <r>
      <rPr>
        <sz val="10"/>
        <rFont val="Arial"/>
        <family val="0"/>
        <charset val="1"/>
      </rPr>
      <t xml:space="preserve">(5-10</t>
    </r>
    <r>
      <rPr>
        <sz val="10"/>
        <rFont val="Noto Sans CJK SC"/>
        <family val="2"/>
      </rPr>
      <t xml:space="preserve">名玩家完整体验</t>
    </r>
    <r>
      <rPr>
        <sz val="10"/>
        <rFont val="Arial"/>
        <family val="0"/>
        <charset val="1"/>
      </rPr>
      <t xml:space="preserve">demo)</t>
    </r>
  </si>
  <si>
    <t xml:space="preserve">T602</t>
  </si>
  <si>
    <r>
      <rPr>
        <sz val="10"/>
        <rFont val="Noto Sans CJK SC"/>
        <family val="2"/>
      </rPr>
      <t xml:space="preserve">双语文本校对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人工润色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初翻的情感浓度高段落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</si>
  <si>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尤其是渡化独白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发丝共振等台词</t>
    </r>
  </si>
  <si>
    <t xml:space="preserve">T603</t>
  </si>
  <si>
    <t xml:space="preserve">发行</t>
  </si>
  <si>
    <r>
      <rPr>
        <sz val="10"/>
        <rFont val="Noto Sans CJK SC"/>
        <family val="2"/>
      </rPr>
      <t xml:space="preserve">应用商店素材准备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截图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宣传文案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演示视频</t>
    </r>
    <r>
      <rPr>
        <sz val="10"/>
        <rFont val="Arial"/>
        <family val="0"/>
        <charset val="1"/>
      </rPr>
      <t xml:space="preserve">)</t>
    </r>
  </si>
  <si>
    <t xml:space="preserve">T604</t>
  </si>
  <si>
    <t xml:space="preserve">根据内测反馈迭代</t>
  </si>
  <si>
    <t xml:space="preserve">任务数</t>
  </si>
  <si>
    <r>
      <rPr>
        <b val="true"/>
        <sz val="11"/>
        <color rgb="FFFFFFFF"/>
        <rFont val="Noto Sans CJK SC"/>
        <family val="2"/>
      </rPr>
      <t xml:space="preserve">预估总工时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</si>
  <si>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预估总工时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周</t>
    </r>
    <r>
      <rPr>
        <b val="true"/>
        <sz val="11"/>
        <color rgb="FFFFFFFF"/>
        <rFont val="Arial"/>
        <family val="0"/>
        <charset val="1"/>
      </rPr>
      <t xml:space="preserve">,</t>
    </r>
    <r>
      <rPr>
        <b val="true"/>
        <sz val="11"/>
        <color rgb="FFFFFFFF"/>
        <rFont val="Noto Sans CJK SC"/>
        <family val="2"/>
      </rPr>
      <t xml:space="preserve">按</t>
    </r>
    <r>
      <rPr>
        <b val="true"/>
        <sz val="11"/>
        <color rgb="FFFFFFFF"/>
        <rFont val="Arial"/>
        <family val="0"/>
        <charset val="1"/>
      </rPr>
      <t xml:space="preserve">15h/</t>
    </r>
    <r>
      <rPr>
        <b val="true"/>
        <sz val="11"/>
        <color rgb="FFFFFFFF"/>
        <rFont val="Noto Sans CJK SC"/>
        <family val="2"/>
      </rPr>
      <t xml:space="preserve">周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</si>
  <si>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合计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</si>
</sst>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666666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2F2A85"/>
        <bgColor rgb="FF333333"/>
      </patternFill>
    </fill>
    <fill>
      <patternFill patternType="solid">
        <fgColor rgb="FFE8E6FB"/>
        <bgColor rgb="FFD6EFEF"/>
      </patternFill>
    </fill>
    <fill>
      <patternFill patternType="solid">
        <fgColor rgb="FFD6EFEF"/>
        <bgColor rgb="FFE1F0D8"/>
      </patternFill>
    </fill>
    <fill>
      <patternFill patternType="solid">
        <fgColor rgb="FFFBE3D6"/>
        <bgColor rgb="FFFBEFD0"/>
      </patternFill>
    </fill>
    <fill>
      <patternFill patternType="solid">
        <fgColor rgb="FFFBEFD0"/>
        <bgColor rgb="FFFBE3D6"/>
      </patternFill>
    </fill>
    <fill>
      <patternFill patternType="solid">
        <fgColor rgb="FFE1F0D8"/>
        <bgColor rgb="FFD6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BEFD0"/>
      <rgbColor rgb="FFD6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6FB"/>
      <rgbColor rgb="FFE1F0D8"/>
      <rgbColor rgb="FFFFFF99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2A8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6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60" hidden="false" customHeight="true" outlineLevel="0" collapsed="false">
      <c r="A2" s="2" t="s">
        <v>6</v>
      </c>
      <c r="B2" s="3" t="s">
        <v>7</v>
      </c>
      <c r="C2" s="3" t="s">
        <v>8</v>
      </c>
      <c r="D2" s="4" t="n">
        <v>1</v>
      </c>
      <c r="E2" s="4" t="s">
        <v>9</v>
      </c>
      <c r="F2" s="3" t="s">
        <v>10</v>
      </c>
    </row>
    <row r="3" customFormat="false" ht="60" hidden="false" customHeight="true" outlineLevel="0" collapsed="false">
      <c r="A3" s="5" t="s">
        <v>11</v>
      </c>
      <c r="B3" s="6" t="s">
        <v>12</v>
      </c>
      <c r="C3" s="6" t="s">
        <v>13</v>
      </c>
      <c r="D3" s="7" t="n">
        <v>4</v>
      </c>
      <c r="E3" s="7" t="s">
        <v>9</v>
      </c>
      <c r="F3" s="6" t="s">
        <v>14</v>
      </c>
    </row>
    <row r="4" customFormat="false" ht="60" hidden="false" customHeight="true" outlineLevel="0" collapsed="false">
      <c r="A4" s="5" t="s">
        <v>15</v>
      </c>
      <c r="B4" s="6" t="s">
        <v>16</v>
      </c>
      <c r="C4" s="6" t="s">
        <v>17</v>
      </c>
      <c r="D4" s="7" t="n">
        <v>3</v>
      </c>
      <c r="E4" s="8" t="s">
        <v>18</v>
      </c>
      <c r="F4" s="6" t="s">
        <v>19</v>
      </c>
    </row>
    <row r="5" customFormat="false" ht="60" hidden="false" customHeight="true" outlineLevel="0" collapsed="false">
      <c r="A5" s="9" t="s">
        <v>20</v>
      </c>
      <c r="B5" s="10" t="s">
        <v>21</v>
      </c>
      <c r="C5" s="11" t="s">
        <v>22</v>
      </c>
      <c r="D5" s="12" t="n">
        <v>9</v>
      </c>
      <c r="E5" s="13" t="s">
        <v>23</v>
      </c>
      <c r="F5" s="10" t="s">
        <v>24</v>
      </c>
    </row>
    <row r="6" customFormat="false" ht="60" hidden="false" customHeight="true" outlineLevel="0" collapsed="false">
      <c r="A6" s="14" t="s">
        <v>25</v>
      </c>
      <c r="B6" s="15" t="s">
        <v>26</v>
      </c>
      <c r="C6" s="15" t="s">
        <v>27</v>
      </c>
      <c r="D6" s="16" t="n">
        <v>4</v>
      </c>
      <c r="E6" s="17" t="s">
        <v>28</v>
      </c>
      <c r="F6" s="15" t="s">
        <v>29</v>
      </c>
    </row>
    <row r="7" customFormat="false" ht="60" hidden="false" customHeight="true" outlineLevel="0" collapsed="false">
      <c r="A7" s="18" t="s">
        <v>30</v>
      </c>
      <c r="B7" s="19" t="s">
        <v>31</v>
      </c>
      <c r="C7" s="19" t="s">
        <v>32</v>
      </c>
      <c r="D7" s="20" t="n">
        <v>3</v>
      </c>
      <c r="E7" s="20" t="s">
        <v>9</v>
      </c>
      <c r="F7" s="19" t="s">
        <v>33</v>
      </c>
    </row>
    <row r="8" customFormat="false" ht="60" hidden="false" customHeight="true" outlineLevel="0" collapsed="false">
      <c r="A8" s="18" t="s">
        <v>34</v>
      </c>
      <c r="B8" s="19" t="s">
        <v>35</v>
      </c>
      <c r="C8" s="19" t="s">
        <v>36</v>
      </c>
      <c r="D8" s="20" t="n">
        <v>2</v>
      </c>
      <c r="E8" s="20" t="s">
        <v>9</v>
      </c>
      <c r="F8" s="19" t="s">
        <v>37</v>
      </c>
    </row>
    <row r="10" customFormat="false" ht="15" hidden="false" customHeight="false" outlineLevel="0" collapsed="false">
      <c r="A10" s="21" t="s">
        <v>38</v>
      </c>
    </row>
    <row r="11" customFormat="false" ht="15" hidden="false" customHeight="false" outlineLevel="0" collapsed="false">
      <c r="A11" s="2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44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4"/>
  </cols>
  <sheetData>
    <row r="1" customFormat="false" ht="17.15" hidden="false" customHeight="false" outlineLevel="0" collapsed="false">
      <c r="A1" s="22" t="s">
        <v>40</v>
      </c>
      <c r="B1" s="1" t="s">
        <v>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5</v>
      </c>
    </row>
    <row r="2" customFormat="false" ht="29.85" hidden="false" customHeight="false" outlineLevel="0" collapsed="false">
      <c r="A2" s="2" t="s">
        <v>47</v>
      </c>
      <c r="B2" s="4" t="s">
        <v>48</v>
      </c>
      <c r="C2" s="23" t="s">
        <v>49</v>
      </c>
      <c r="D2" s="3" t="s">
        <v>50</v>
      </c>
      <c r="E2" s="4" t="s">
        <v>48</v>
      </c>
      <c r="F2" s="23" t="n">
        <v>4</v>
      </c>
      <c r="G2" s="23"/>
      <c r="H2" s="23" t="s">
        <v>51</v>
      </c>
      <c r="I2" s="3" t="s">
        <v>52</v>
      </c>
    </row>
    <row r="3" customFormat="false" ht="15" hidden="false" customHeight="false" outlineLevel="0" collapsed="false">
      <c r="A3" s="2" t="s">
        <v>53</v>
      </c>
      <c r="B3" s="4" t="s">
        <v>48</v>
      </c>
      <c r="C3" s="23" t="s">
        <v>49</v>
      </c>
      <c r="D3" s="3" t="s">
        <v>54</v>
      </c>
      <c r="E3" s="4" t="s">
        <v>48</v>
      </c>
      <c r="F3" s="23" t="n">
        <v>4</v>
      </c>
      <c r="G3" s="23"/>
      <c r="H3" s="23" t="s">
        <v>51</v>
      </c>
      <c r="I3" s="3" t="s">
        <v>55</v>
      </c>
    </row>
    <row r="4" customFormat="false" ht="15" hidden="false" customHeight="false" outlineLevel="0" collapsed="false">
      <c r="A4" s="2" t="s">
        <v>56</v>
      </c>
      <c r="B4" s="4" t="s">
        <v>48</v>
      </c>
      <c r="C4" s="23" t="s">
        <v>49</v>
      </c>
      <c r="D4" s="3" t="s">
        <v>57</v>
      </c>
      <c r="E4" s="4" t="s">
        <v>48</v>
      </c>
      <c r="F4" s="23" t="n">
        <v>3</v>
      </c>
      <c r="G4" s="23"/>
      <c r="H4" s="23" t="s">
        <v>51</v>
      </c>
      <c r="I4" s="3" t="s">
        <v>58</v>
      </c>
    </row>
    <row r="5" customFormat="false" ht="15" hidden="false" customHeight="false" outlineLevel="0" collapsed="false">
      <c r="A5" s="2" t="s">
        <v>59</v>
      </c>
      <c r="B5" s="4" t="s">
        <v>48</v>
      </c>
      <c r="C5" s="23" t="s">
        <v>49</v>
      </c>
      <c r="D5" s="3" t="s">
        <v>60</v>
      </c>
      <c r="E5" s="4" t="s">
        <v>61</v>
      </c>
      <c r="F5" s="23" t="n">
        <v>3</v>
      </c>
      <c r="G5" s="4" t="s">
        <v>53</v>
      </c>
      <c r="H5" s="23" t="s">
        <v>51</v>
      </c>
      <c r="I5" s="3"/>
    </row>
    <row r="6" customFormat="false" ht="15" hidden="false" customHeight="false" outlineLevel="0" collapsed="false">
      <c r="A6" s="5" t="s">
        <v>62</v>
      </c>
      <c r="B6" s="7" t="s">
        <v>61</v>
      </c>
      <c r="C6" s="8" t="s">
        <v>63</v>
      </c>
      <c r="D6" s="6" t="s">
        <v>64</v>
      </c>
      <c r="E6" s="7" t="s">
        <v>48</v>
      </c>
      <c r="F6" s="8" t="n">
        <v>8</v>
      </c>
      <c r="G6" s="8"/>
      <c r="H6" s="8" t="s">
        <v>51</v>
      </c>
      <c r="I6" s="6" t="s">
        <v>65</v>
      </c>
    </row>
    <row r="7" customFormat="false" ht="15" hidden="false" customHeight="false" outlineLevel="0" collapsed="false">
      <c r="A7" s="5" t="s">
        <v>66</v>
      </c>
      <c r="B7" s="7" t="s">
        <v>61</v>
      </c>
      <c r="C7" s="8" t="s">
        <v>63</v>
      </c>
      <c r="D7" s="6" t="s">
        <v>67</v>
      </c>
      <c r="E7" s="7" t="s">
        <v>48</v>
      </c>
      <c r="F7" s="8" t="n">
        <v>16</v>
      </c>
      <c r="G7" s="7" t="s">
        <v>62</v>
      </c>
      <c r="H7" s="8" t="s">
        <v>51</v>
      </c>
      <c r="I7" s="6" t="s">
        <v>68</v>
      </c>
    </row>
    <row r="8" customFormat="false" ht="15" hidden="false" customHeight="false" outlineLevel="0" collapsed="false">
      <c r="A8" s="5" t="s">
        <v>69</v>
      </c>
      <c r="B8" s="7" t="s">
        <v>61</v>
      </c>
      <c r="C8" s="8" t="s">
        <v>63</v>
      </c>
      <c r="D8" s="6" t="s">
        <v>70</v>
      </c>
      <c r="E8" s="7" t="s">
        <v>48</v>
      </c>
      <c r="F8" s="8" t="n">
        <v>20</v>
      </c>
      <c r="G8" s="7" t="s">
        <v>62</v>
      </c>
      <c r="H8" s="8" t="s">
        <v>51</v>
      </c>
      <c r="I8" s="6" t="s">
        <v>71</v>
      </c>
    </row>
    <row r="9" customFormat="false" ht="15" hidden="false" customHeight="false" outlineLevel="0" collapsed="false">
      <c r="A9" s="5" t="s">
        <v>72</v>
      </c>
      <c r="B9" s="7" t="s">
        <v>61</v>
      </c>
      <c r="C9" s="8" t="s">
        <v>63</v>
      </c>
      <c r="D9" s="6" t="s">
        <v>73</v>
      </c>
      <c r="E9" s="7" t="s">
        <v>48</v>
      </c>
      <c r="F9" s="8" t="n">
        <v>12</v>
      </c>
      <c r="G9" s="7" t="s">
        <v>62</v>
      </c>
      <c r="H9" s="8" t="s">
        <v>51</v>
      </c>
      <c r="I9" s="6"/>
    </row>
    <row r="10" customFormat="false" ht="23.85" hidden="false" customHeight="false" outlineLevel="0" collapsed="false">
      <c r="A10" s="5" t="s">
        <v>74</v>
      </c>
      <c r="B10" s="7" t="s">
        <v>61</v>
      </c>
      <c r="C10" s="8" t="s">
        <v>63</v>
      </c>
      <c r="D10" s="6" t="s">
        <v>75</v>
      </c>
      <c r="E10" s="7" t="s">
        <v>48</v>
      </c>
      <c r="F10" s="8" t="n">
        <v>16</v>
      </c>
      <c r="G10" s="7" t="s">
        <v>76</v>
      </c>
      <c r="H10" s="8" t="s">
        <v>51</v>
      </c>
      <c r="I10" s="6" t="s">
        <v>77</v>
      </c>
    </row>
    <row r="11" customFormat="false" ht="15" hidden="false" customHeight="false" outlineLevel="0" collapsed="false">
      <c r="A11" s="5" t="s">
        <v>78</v>
      </c>
      <c r="B11" s="7" t="s">
        <v>61</v>
      </c>
      <c r="C11" s="8" t="s">
        <v>63</v>
      </c>
      <c r="D11" s="6" t="s">
        <v>79</v>
      </c>
      <c r="E11" s="7" t="s">
        <v>61</v>
      </c>
      <c r="F11" s="8" t="n">
        <v>10</v>
      </c>
      <c r="G11" s="7" t="s">
        <v>69</v>
      </c>
      <c r="H11" s="8" t="s">
        <v>51</v>
      </c>
      <c r="I11" s="6" t="s">
        <v>80</v>
      </c>
    </row>
    <row r="12" customFormat="false" ht="15" hidden="false" customHeight="false" outlineLevel="0" collapsed="false">
      <c r="A12" s="5" t="s">
        <v>81</v>
      </c>
      <c r="B12" s="7" t="s">
        <v>82</v>
      </c>
      <c r="C12" s="8" t="s">
        <v>83</v>
      </c>
      <c r="D12" s="6" t="s">
        <v>84</v>
      </c>
      <c r="E12" s="7" t="s">
        <v>48</v>
      </c>
      <c r="F12" s="8" t="n">
        <v>4</v>
      </c>
      <c r="G12" s="7" t="s">
        <v>85</v>
      </c>
      <c r="H12" s="8" t="s">
        <v>51</v>
      </c>
      <c r="I12" s="6"/>
    </row>
    <row r="13" customFormat="false" ht="15" hidden="false" customHeight="false" outlineLevel="0" collapsed="false">
      <c r="A13" s="5" t="s">
        <v>86</v>
      </c>
      <c r="B13" s="7" t="s">
        <v>82</v>
      </c>
      <c r="C13" s="8" t="s">
        <v>83</v>
      </c>
      <c r="D13" s="6" t="s">
        <v>87</v>
      </c>
      <c r="E13" s="7" t="s">
        <v>48</v>
      </c>
      <c r="F13" s="8" t="n">
        <v>24</v>
      </c>
      <c r="G13" s="7" t="s">
        <v>74</v>
      </c>
      <c r="H13" s="8" t="s">
        <v>51</v>
      </c>
      <c r="I13" s="6" t="s">
        <v>88</v>
      </c>
    </row>
    <row r="14" customFormat="false" ht="15" hidden="false" customHeight="false" outlineLevel="0" collapsed="false">
      <c r="A14" s="5" t="s">
        <v>89</v>
      </c>
      <c r="B14" s="7" t="s">
        <v>82</v>
      </c>
      <c r="C14" s="8" t="s">
        <v>83</v>
      </c>
      <c r="D14" s="6" t="s">
        <v>90</v>
      </c>
      <c r="E14" s="7" t="s">
        <v>48</v>
      </c>
      <c r="F14" s="8" t="n">
        <v>6</v>
      </c>
      <c r="G14" s="7" t="s">
        <v>86</v>
      </c>
      <c r="H14" s="8" t="s">
        <v>51</v>
      </c>
      <c r="I14" s="6" t="s">
        <v>91</v>
      </c>
    </row>
    <row r="15" customFormat="false" ht="29.85" hidden="false" customHeight="false" outlineLevel="0" collapsed="false">
      <c r="A15" s="5" t="s">
        <v>92</v>
      </c>
      <c r="B15" s="7" t="s">
        <v>82</v>
      </c>
      <c r="C15" s="8" t="s">
        <v>83</v>
      </c>
      <c r="D15" s="6" t="s">
        <v>93</v>
      </c>
      <c r="E15" s="7" t="s">
        <v>48</v>
      </c>
      <c r="F15" s="8" t="n">
        <v>4</v>
      </c>
      <c r="G15" s="7" t="s">
        <v>86</v>
      </c>
      <c r="H15" s="8" t="s">
        <v>51</v>
      </c>
      <c r="I15" s="6" t="s">
        <v>94</v>
      </c>
    </row>
    <row r="16" customFormat="false" ht="15" hidden="false" customHeight="false" outlineLevel="0" collapsed="false">
      <c r="A16" s="5" t="s">
        <v>95</v>
      </c>
      <c r="B16" s="7" t="s">
        <v>82</v>
      </c>
      <c r="C16" s="8" t="s">
        <v>83</v>
      </c>
      <c r="D16" s="6" t="s">
        <v>96</v>
      </c>
      <c r="E16" s="7" t="s">
        <v>61</v>
      </c>
      <c r="F16" s="8" t="n">
        <v>16</v>
      </c>
      <c r="G16" s="7" t="s">
        <v>74</v>
      </c>
      <c r="H16" s="8" t="s">
        <v>51</v>
      </c>
      <c r="I16" s="6"/>
    </row>
    <row r="17" customFormat="false" ht="15" hidden="false" customHeight="false" outlineLevel="0" collapsed="false">
      <c r="A17" s="5" t="s">
        <v>97</v>
      </c>
      <c r="B17" s="7" t="s">
        <v>82</v>
      </c>
      <c r="C17" s="8" t="s">
        <v>63</v>
      </c>
      <c r="D17" s="6" t="s">
        <v>98</v>
      </c>
      <c r="E17" s="7" t="s">
        <v>48</v>
      </c>
      <c r="F17" s="8" t="n">
        <v>10</v>
      </c>
      <c r="G17" s="7" t="s">
        <v>74</v>
      </c>
      <c r="H17" s="8" t="s">
        <v>51</v>
      </c>
      <c r="I17" s="6" t="s">
        <v>99</v>
      </c>
    </row>
    <row r="18" customFormat="false" ht="15" hidden="false" customHeight="false" outlineLevel="0" collapsed="false">
      <c r="A18" s="5" t="s">
        <v>100</v>
      </c>
      <c r="B18" s="7" t="s">
        <v>82</v>
      </c>
      <c r="C18" s="8" t="s">
        <v>63</v>
      </c>
      <c r="D18" s="6" t="s">
        <v>101</v>
      </c>
      <c r="E18" s="7" t="s">
        <v>48</v>
      </c>
      <c r="F18" s="8" t="n">
        <v>12</v>
      </c>
      <c r="G18" s="7" t="s">
        <v>97</v>
      </c>
      <c r="H18" s="8" t="s">
        <v>51</v>
      </c>
      <c r="I18" s="6"/>
    </row>
    <row r="19" customFormat="false" ht="15" hidden="false" customHeight="false" outlineLevel="0" collapsed="false">
      <c r="A19" s="9" t="s">
        <v>102</v>
      </c>
      <c r="B19" s="12" t="s">
        <v>103</v>
      </c>
      <c r="C19" s="13" t="s">
        <v>104</v>
      </c>
      <c r="D19" s="10" t="s">
        <v>105</v>
      </c>
      <c r="E19" s="12" t="s">
        <v>48</v>
      </c>
      <c r="F19" s="13" t="n">
        <v>8</v>
      </c>
      <c r="G19" s="13"/>
      <c r="H19" s="13" t="s">
        <v>51</v>
      </c>
      <c r="I19" s="10"/>
    </row>
    <row r="20" customFormat="false" ht="15" hidden="false" customHeight="false" outlineLevel="0" collapsed="false">
      <c r="A20" s="9" t="s">
        <v>106</v>
      </c>
      <c r="B20" s="12" t="s">
        <v>103</v>
      </c>
      <c r="C20" s="13" t="s">
        <v>104</v>
      </c>
      <c r="D20" s="10" t="s">
        <v>107</v>
      </c>
      <c r="E20" s="12" t="s">
        <v>48</v>
      </c>
      <c r="F20" s="13" t="n">
        <v>40</v>
      </c>
      <c r="G20" s="12" t="s">
        <v>102</v>
      </c>
      <c r="H20" s="13" t="s">
        <v>51</v>
      </c>
      <c r="I20" s="10" t="s">
        <v>108</v>
      </c>
    </row>
    <row r="21" customFormat="false" ht="15" hidden="false" customHeight="false" outlineLevel="0" collapsed="false">
      <c r="A21" s="9" t="s">
        <v>109</v>
      </c>
      <c r="B21" s="12" t="s">
        <v>103</v>
      </c>
      <c r="C21" s="13" t="s">
        <v>104</v>
      </c>
      <c r="D21" s="10" t="s">
        <v>110</v>
      </c>
      <c r="E21" s="12" t="s">
        <v>61</v>
      </c>
      <c r="F21" s="13" t="n">
        <v>6</v>
      </c>
      <c r="G21" s="12" t="s">
        <v>111</v>
      </c>
      <c r="H21" s="13" t="s">
        <v>51</v>
      </c>
      <c r="I21" s="10"/>
    </row>
    <row r="22" customFormat="false" ht="15" hidden="false" customHeight="false" outlineLevel="0" collapsed="false">
      <c r="A22" s="9" t="s">
        <v>112</v>
      </c>
      <c r="B22" s="12" t="s">
        <v>103</v>
      </c>
      <c r="C22" s="13" t="s">
        <v>104</v>
      </c>
      <c r="D22" s="10" t="s">
        <v>113</v>
      </c>
      <c r="E22" s="12" t="s">
        <v>48</v>
      </c>
      <c r="F22" s="13" t="n">
        <v>20</v>
      </c>
      <c r="G22" s="12" t="s">
        <v>102</v>
      </c>
      <c r="H22" s="13" t="s">
        <v>51</v>
      </c>
      <c r="I22" s="10"/>
    </row>
    <row r="23" customFormat="false" ht="15" hidden="false" customHeight="false" outlineLevel="0" collapsed="false">
      <c r="A23" s="9" t="s">
        <v>114</v>
      </c>
      <c r="B23" s="12" t="s">
        <v>103</v>
      </c>
      <c r="C23" s="13" t="s">
        <v>104</v>
      </c>
      <c r="D23" s="10" t="s">
        <v>115</v>
      </c>
      <c r="E23" s="12" t="s">
        <v>48</v>
      </c>
      <c r="F23" s="13" t="n">
        <v>24</v>
      </c>
      <c r="G23" s="12" t="s">
        <v>102</v>
      </c>
      <c r="H23" s="13" t="s">
        <v>51</v>
      </c>
      <c r="I23" s="10"/>
    </row>
    <row r="24" customFormat="false" ht="29.85" hidden="false" customHeight="false" outlineLevel="0" collapsed="false">
      <c r="A24" s="9" t="s">
        <v>116</v>
      </c>
      <c r="B24" s="12" t="s">
        <v>103</v>
      </c>
      <c r="C24" s="13" t="s">
        <v>104</v>
      </c>
      <c r="D24" s="10" t="s">
        <v>117</v>
      </c>
      <c r="E24" s="12" t="s">
        <v>48</v>
      </c>
      <c r="F24" s="13" t="n">
        <v>30</v>
      </c>
      <c r="G24" s="12" t="s">
        <v>114</v>
      </c>
      <c r="H24" s="13" t="s">
        <v>51</v>
      </c>
      <c r="I24" s="10" t="s">
        <v>118</v>
      </c>
    </row>
    <row r="25" customFormat="false" ht="15" hidden="false" customHeight="false" outlineLevel="0" collapsed="false">
      <c r="A25" s="9" t="s">
        <v>119</v>
      </c>
      <c r="B25" s="12" t="s">
        <v>103</v>
      </c>
      <c r="C25" s="13" t="s">
        <v>104</v>
      </c>
      <c r="D25" s="10" t="s">
        <v>120</v>
      </c>
      <c r="E25" s="12" t="s">
        <v>61</v>
      </c>
      <c r="F25" s="13" t="n">
        <v>20</v>
      </c>
      <c r="G25" s="12" t="s">
        <v>102</v>
      </c>
      <c r="H25" s="13" t="s">
        <v>51</v>
      </c>
      <c r="I25" s="10"/>
    </row>
    <row r="26" customFormat="false" ht="15" hidden="false" customHeight="false" outlineLevel="0" collapsed="false">
      <c r="A26" s="9" t="s">
        <v>121</v>
      </c>
      <c r="B26" s="12" t="s">
        <v>103</v>
      </c>
      <c r="C26" s="13" t="s">
        <v>104</v>
      </c>
      <c r="D26" s="11" t="s">
        <v>122</v>
      </c>
      <c r="E26" s="12" t="s">
        <v>48</v>
      </c>
      <c r="F26" s="13" t="n">
        <v>20</v>
      </c>
      <c r="G26" s="12" t="s">
        <v>102</v>
      </c>
      <c r="H26" s="13" t="s">
        <v>51</v>
      </c>
      <c r="I26" s="10"/>
    </row>
    <row r="27" customFormat="false" ht="15" hidden="false" customHeight="false" outlineLevel="0" collapsed="false">
      <c r="A27" s="9" t="s">
        <v>123</v>
      </c>
      <c r="B27" s="12" t="s">
        <v>103</v>
      </c>
      <c r="C27" s="13" t="s">
        <v>104</v>
      </c>
      <c r="D27" s="10" t="s">
        <v>124</v>
      </c>
      <c r="E27" s="12" t="s">
        <v>61</v>
      </c>
      <c r="F27" s="13" t="n">
        <v>16</v>
      </c>
      <c r="G27" s="12" t="s">
        <v>102</v>
      </c>
      <c r="H27" s="13" t="s">
        <v>51</v>
      </c>
      <c r="I27" s="10"/>
    </row>
    <row r="28" customFormat="false" ht="15" hidden="false" customHeight="false" outlineLevel="0" collapsed="false">
      <c r="A28" s="14" t="s">
        <v>125</v>
      </c>
      <c r="B28" s="16" t="s">
        <v>126</v>
      </c>
      <c r="C28" s="17" t="s">
        <v>63</v>
      </c>
      <c r="D28" s="15" t="s">
        <v>127</v>
      </c>
      <c r="E28" s="16" t="s">
        <v>48</v>
      </c>
      <c r="F28" s="17" t="n">
        <v>16</v>
      </c>
      <c r="G28" s="16" t="s">
        <v>78</v>
      </c>
      <c r="H28" s="17" t="s">
        <v>51</v>
      </c>
      <c r="I28" s="15"/>
    </row>
    <row r="29" customFormat="false" ht="15" hidden="false" customHeight="false" outlineLevel="0" collapsed="false">
      <c r="A29" s="14" t="s">
        <v>128</v>
      </c>
      <c r="B29" s="16" t="s">
        <v>126</v>
      </c>
      <c r="C29" s="17" t="s">
        <v>63</v>
      </c>
      <c r="D29" s="15" t="s">
        <v>129</v>
      </c>
      <c r="E29" s="16" t="s">
        <v>61</v>
      </c>
      <c r="F29" s="17" t="n">
        <v>12</v>
      </c>
      <c r="G29" s="16" t="s">
        <v>97</v>
      </c>
      <c r="H29" s="17" t="s">
        <v>51</v>
      </c>
      <c r="I29" s="15"/>
    </row>
    <row r="30" customFormat="false" ht="15" hidden="false" customHeight="false" outlineLevel="0" collapsed="false">
      <c r="A30" s="14" t="s">
        <v>130</v>
      </c>
      <c r="B30" s="16" t="s">
        <v>126</v>
      </c>
      <c r="C30" s="17" t="s">
        <v>63</v>
      </c>
      <c r="D30" s="15" t="s">
        <v>131</v>
      </c>
      <c r="E30" s="16" t="s">
        <v>61</v>
      </c>
      <c r="F30" s="17" t="n">
        <v>10</v>
      </c>
      <c r="G30" s="16" t="s">
        <v>97</v>
      </c>
      <c r="H30" s="17" t="s">
        <v>51</v>
      </c>
      <c r="I30" s="15"/>
    </row>
    <row r="31" customFormat="false" ht="41" hidden="false" customHeight="false" outlineLevel="0" collapsed="false">
      <c r="A31" s="14" t="s">
        <v>132</v>
      </c>
      <c r="B31" s="16" t="s">
        <v>126</v>
      </c>
      <c r="C31" s="17" t="s">
        <v>63</v>
      </c>
      <c r="D31" s="24" t="s">
        <v>133</v>
      </c>
      <c r="E31" s="16" t="s">
        <v>48</v>
      </c>
      <c r="F31" s="17" t="n">
        <v>10</v>
      </c>
      <c r="G31" s="16" t="s">
        <v>66</v>
      </c>
      <c r="H31" s="17" t="s">
        <v>51</v>
      </c>
      <c r="I31" s="15" t="s">
        <v>134</v>
      </c>
    </row>
    <row r="32" customFormat="false" ht="23.85" hidden="false" customHeight="false" outlineLevel="0" collapsed="false">
      <c r="A32" s="14" t="s">
        <v>135</v>
      </c>
      <c r="B32" s="16" t="s">
        <v>126</v>
      </c>
      <c r="C32" s="17" t="s">
        <v>83</v>
      </c>
      <c r="D32" s="15" t="s">
        <v>136</v>
      </c>
      <c r="E32" s="16" t="s">
        <v>48</v>
      </c>
      <c r="F32" s="17" t="n">
        <v>20</v>
      </c>
      <c r="G32" s="16" t="s">
        <v>137</v>
      </c>
      <c r="H32" s="17" t="s">
        <v>51</v>
      </c>
      <c r="I32" s="15" t="s">
        <v>138</v>
      </c>
    </row>
    <row r="33" customFormat="false" ht="15" hidden="false" customHeight="false" outlineLevel="0" collapsed="false">
      <c r="A33" s="14" t="s">
        <v>139</v>
      </c>
      <c r="B33" s="16" t="s">
        <v>126</v>
      </c>
      <c r="C33" s="17" t="s">
        <v>63</v>
      </c>
      <c r="D33" s="15" t="s">
        <v>140</v>
      </c>
      <c r="E33" s="16" t="s">
        <v>82</v>
      </c>
      <c r="F33" s="17" t="n">
        <v>8</v>
      </c>
      <c r="G33" s="16" t="s">
        <v>97</v>
      </c>
      <c r="H33" s="17" t="s">
        <v>51</v>
      </c>
      <c r="I33" s="24" t="s">
        <v>141</v>
      </c>
    </row>
    <row r="34" customFormat="false" ht="23.85" hidden="false" customHeight="false" outlineLevel="0" collapsed="false">
      <c r="A34" s="18" t="s">
        <v>142</v>
      </c>
      <c r="B34" s="20" t="s">
        <v>143</v>
      </c>
      <c r="C34" s="25" t="s">
        <v>144</v>
      </c>
      <c r="D34" s="19" t="s">
        <v>145</v>
      </c>
      <c r="E34" s="20" t="s">
        <v>48</v>
      </c>
      <c r="F34" s="25" t="n">
        <v>16</v>
      </c>
      <c r="G34" s="20" t="s">
        <v>146</v>
      </c>
      <c r="H34" s="25" t="s">
        <v>51</v>
      </c>
      <c r="I34" s="19"/>
    </row>
    <row r="35" customFormat="false" ht="15" hidden="false" customHeight="false" outlineLevel="0" collapsed="false">
      <c r="A35" s="18" t="s">
        <v>147</v>
      </c>
      <c r="B35" s="20" t="s">
        <v>143</v>
      </c>
      <c r="C35" s="25" t="s">
        <v>148</v>
      </c>
      <c r="D35" s="26" t="s">
        <v>149</v>
      </c>
      <c r="E35" s="20" t="s">
        <v>61</v>
      </c>
      <c r="F35" s="25" t="n">
        <v>12</v>
      </c>
      <c r="G35" s="20" t="s">
        <v>142</v>
      </c>
      <c r="H35" s="25" t="s">
        <v>51</v>
      </c>
      <c r="I35" s="19" t="s">
        <v>150</v>
      </c>
    </row>
    <row r="36" customFormat="false" ht="15" hidden="false" customHeight="false" outlineLevel="0" collapsed="false">
      <c r="A36" s="18" t="s">
        <v>151</v>
      </c>
      <c r="B36" s="20" t="s">
        <v>143</v>
      </c>
      <c r="C36" s="25" t="s">
        <v>63</v>
      </c>
      <c r="D36" s="19" t="s">
        <v>152</v>
      </c>
      <c r="E36" s="20" t="s">
        <v>48</v>
      </c>
      <c r="F36" s="25" t="n">
        <v>12</v>
      </c>
      <c r="G36" s="20" t="s">
        <v>142</v>
      </c>
      <c r="H36" s="25" t="s">
        <v>51</v>
      </c>
      <c r="I36" s="19"/>
    </row>
    <row r="37" customFormat="false" ht="15" hidden="false" customHeight="false" outlineLevel="0" collapsed="false">
      <c r="A37" s="18" t="s">
        <v>153</v>
      </c>
      <c r="B37" s="20" t="s">
        <v>143</v>
      </c>
      <c r="C37" s="25" t="s">
        <v>144</v>
      </c>
      <c r="D37" s="26" t="s">
        <v>154</v>
      </c>
      <c r="E37" s="20" t="s">
        <v>48</v>
      </c>
      <c r="F37" s="25" t="n">
        <v>16</v>
      </c>
      <c r="G37" s="20" t="s">
        <v>142</v>
      </c>
      <c r="H37" s="25" t="s">
        <v>51</v>
      </c>
      <c r="I37" s="19"/>
    </row>
    <row r="38" customFormat="false" ht="15" hidden="false" customHeight="false" outlineLevel="0" collapsed="false">
      <c r="A38" s="18" t="s">
        <v>155</v>
      </c>
      <c r="B38" s="20" t="s">
        <v>156</v>
      </c>
      <c r="C38" s="25" t="s">
        <v>157</v>
      </c>
      <c r="D38" s="19" t="s">
        <v>158</v>
      </c>
      <c r="E38" s="20" t="s">
        <v>48</v>
      </c>
      <c r="F38" s="25" t="n">
        <v>8</v>
      </c>
      <c r="G38" s="20" t="s">
        <v>153</v>
      </c>
      <c r="H38" s="25" t="s">
        <v>51</v>
      </c>
      <c r="I38" s="19"/>
    </row>
    <row r="39" customFormat="false" ht="15" hidden="false" customHeight="false" outlineLevel="0" collapsed="false">
      <c r="A39" s="18" t="s">
        <v>159</v>
      </c>
      <c r="B39" s="20" t="s">
        <v>156</v>
      </c>
      <c r="C39" s="25" t="s">
        <v>83</v>
      </c>
      <c r="D39" s="19" t="s">
        <v>160</v>
      </c>
      <c r="E39" s="20" t="s">
        <v>48</v>
      </c>
      <c r="F39" s="25" t="n">
        <v>8</v>
      </c>
      <c r="G39" s="20" t="s">
        <v>135</v>
      </c>
      <c r="H39" s="25" t="s">
        <v>51</v>
      </c>
      <c r="I39" s="19" t="s">
        <v>161</v>
      </c>
    </row>
    <row r="40" customFormat="false" ht="15" hidden="false" customHeight="false" outlineLevel="0" collapsed="false">
      <c r="A40" s="18" t="s">
        <v>162</v>
      </c>
      <c r="B40" s="20" t="s">
        <v>156</v>
      </c>
      <c r="C40" s="25" t="s">
        <v>163</v>
      </c>
      <c r="D40" s="19" t="s">
        <v>164</v>
      </c>
      <c r="E40" s="20" t="s">
        <v>61</v>
      </c>
      <c r="F40" s="25" t="n">
        <v>8</v>
      </c>
      <c r="G40" s="20" t="s">
        <v>155</v>
      </c>
      <c r="H40" s="25" t="s">
        <v>51</v>
      </c>
      <c r="I40" s="19"/>
    </row>
    <row r="41" customFormat="false" ht="15" hidden="false" customHeight="false" outlineLevel="0" collapsed="false">
      <c r="A41" s="18" t="s">
        <v>165</v>
      </c>
      <c r="B41" s="20" t="s">
        <v>156</v>
      </c>
      <c r="C41" s="25" t="s">
        <v>144</v>
      </c>
      <c r="D41" s="19" t="s">
        <v>166</v>
      </c>
      <c r="E41" s="20" t="s">
        <v>48</v>
      </c>
      <c r="F41" s="25" t="n">
        <v>12</v>
      </c>
      <c r="G41" s="20" t="s">
        <v>155</v>
      </c>
      <c r="H41" s="25" t="s">
        <v>51</v>
      </c>
      <c r="I41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32.8" hidden="false" customHeight="false" outlineLevel="0" collapsed="false">
      <c r="A1" s="1" t="s">
        <v>0</v>
      </c>
      <c r="B1" s="1" t="s">
        <v>167</v>
      </c>
      <c r="C1" s="1" t="s">
        <v>168</v>
      </c>
      <c r="D1" s="1" t="s">
        <v>169</v>
      </c>
    </row>
    <row r="2" customFormat="false" ht="15" hidden="false" customHeight="false" outlineLevel="0" collapsed="false">
      <c r="A2" s="27" t="s">
        <v>48</v>
      </c>
      <c r="B2" s="28" t="n">
        <f aca="false">COUNTIF(任务清单!B2:B41,A2)</f>
        <v>4</v>
      </c>
      <c r="C2" s="28" t="n">
        <f aca="false">SUMIF(任务清单!B2:B41,A2,任务清单!F2:F41)</f>
        <v>14</v>
      </c>
      <c r="D2" s="28" t="n">
        <f aca="false">C2/15</f>
        <v>0.933333333333333</v>
      </c>
    </row>
    <row r="3" customFormat="false" ht="15" hidden="false" customHeight="false" outlineLevel="0" collapsed="false">
      <c r="A3" s="27" t="s">
        <v>61</v>
      </c>
      <c r="B3" s="28" t="n">
        <f aca="false">COUNTIF(任务清单!B2:B41,A3)</f>
        <v>6</v>
      </c>
      <c r="C3" s="28" t="n">
        <f aca="false">SUMIF(任务清单!B2:B41,A3,任务清单!F2:F41)</f>
        <v>82</v>
      </c>
      <c r="D3" s="28" t="n">
        <f aca="false">C3/15</f>
        <v>5.46666666666667</v>
      </c>
    </row>
    <row r="4" customFormat="false" ht="15" hidden="false" customHeight="false" outlineLevel="0" collapsed="false">
      <c r="A4" s="27" t="s">
        <v>82</v>
      </c>
      <c r="B4" s="28" t="n">
        <f aca="false">COUNTIF(任务清单!B2:B41,A4)</f>
        <v>7</v>
      </c>
      <c r="C4" s="28" t="n">
        <f aca="false">SUMIF(任务清单!B2:B41,A4,任务清单!F2:F41)</f>
        <v>76</v>
      </c>
      <c r="D4" s="28" t="n">
        <f aca="false">C4/15</f>
        <v>5.06666666666667</v>
      </c>
    </row>
    <row r="5" customFormat="false" ht="15" hidden="false" customHeight="false" outlineLevel="0" collapsed="false">
      <c r="A5" s="27" t="s">
        <v>103</v>
      </c>
      <c r="B5" s="28" t="n">
        <f aca="false">COUNTIF(任务清单!B2:B41,A5)</f>
        <v>9</v>
      </c>
      <c r="C5" s="28" t="n">
        <f aca="false">SUMIF(任务清单!B2:B41,A5,任务清单!F2:F41)</f>
        <v>184</v>
      </c>
      <c r="D5" s="28" t="n">
        <f aca="false">C5/15</f>
        <v>12.2666666666667</v>
      </c>
    </row>
    <row r="6" customFormat="false" ht="15" hidden="false" customHeight="false" outlineLevel="0" collapsed="false">
      <c r="A6" s="27" t="s">
        <v>126</v>
      </c>
      <c r="B6" s="28" t="n">
        <f aca="false">COUNTIF(任务清单!B2:B41,A6)</f>
        <v>6</v>
      </c>
      <c r="C6" s="28" t="n">
        <f aca="false">SUMIF(任务清单!B2:B41,A6,任务清单!F2:F41)</f>
        <v>76</v>
      </c>
      <c r="D6" s="28" t="n">
        <f aca="false">C6/15</f>
        <v>5.06666666666667</v>
      </c>
    </row>
    <row r="7" customFormat="false" ht="15" hidden="false" customHeight="false" outlineLevel="0" collapsed="false">
      <c r="A7" s="27" t="s">
        <v>143</v>
      </c>
      <c r="B7" s="28" t="n">
        <f aca="false">COUNTIF(任务清单!B2:B41,A7)</f>
        <v>4</v>
      </c>
      <c r="C7" s="28" t="n">
        <f aca="false">SUMIF(任务清单!B2:B41,A7,任务清单!F2:F41)</f>
        <v>56</v>
      </c>
      <c r="D7" s="28" t="n">
        <f aca="false">C7/15</f>
        <v>3.73333333333333</v>
      </c>
    </row>
    <row r="8" customFormat="false" ht="15" hidden="false" customHeight="false" outlineLevel="0" collapsed="false">
      <c r="A8" s="27" t="s">
        <v>156</v>
      </c>
      <c r="B8" s="28" t="n">
        <f aca="false">COUNTIF(任务清单!B2:B41,A8)</f>
        <v>4</v>
      </c>
      <c r="C8" s="28" t="n">
        <f aca="false">SUMIF(任务清单!B2:B41,A8,任务清单!F2:F41)</f>
        <v>36</v>
      </c>
      <c r="D8" s="28" t="n">
        <f aca="false">C8/15</f>
        <v>2.4</v>
      </c>
    </row>
    <row r="9" customFormat="false" ht="15" hidden="false" customHeight="false" outlineLevel="0" collapsed="false">
      <c r="A9" s="29" t="s">
        <v>170</v>
      </c>
      <c r="B9" s="27" t="n">
        <f aca="false">SUM(B2:B8)</f>
        <v>40</v>
      </c>
      <c r="C9" s="27" t="n">
        <f aca="false">SUM(C2:C8)</f>
        <v>524</v>
      </c>
      <c r="D9" s="27" t="n">
        <f aca="false">SUM(D2:D8)</f>
        <v>34.9333333333333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2026-07-23T21:36:08Z</dcterms:created>
  <dc:creator>openpyxl</dc:creator>
  <dc:description/>
  <dc:language>en-US</dc:language>
  <cp:lastModifiedBy/>
  <dcterms:modified xsi:type="dcterms:W3CDTF">2026-07-23T21:36:08Z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